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Part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<sst xmlns="http://schemas.openxmlformats.org/spreadsheetml/2006/main" count="62" uniqueCount="41">
  <si>
    <t>acesso</t>
  </si>
  <si>
    <t>endereco_hex</t>
  </si>
  <si>
    <t>endereco_bin</t>
  </si>
  <si>
    <t>rotulo</t>
  </si>
  <si>
    <t>indice</t>
  </si>
  <si>
    <t>deslocamento</t>
  </si>
  <si>
    <t>valido_antes</t>
  </si>
  <si>
    <t>rotulo_armazenado_antes</t>
  </si>
  <si>
    <t>resultado</t>
  </si>
  <si>
    <t>tipo_falta</t>
  </si>
  <si>
    <t>rotulo_apos</t>
  </si>
  <si>
    <t>0x00</t>
  </si>
  <si>
    <t>0x01</t>
  </si>
  <si>
    <t>0x02</t>
  </si>
  <si>
    <t>0x03</t>
  </si>
  <si>
    <t>0x20</t>
  </si>
  <si>
    <t>0x21</t>
  </si>
  <si>
    <t>0x04</t>
  </si>
  <si>
    <t>0x05</t>
  </si>
  <si>
    <t>0x06</t>
  </si>
  <si>
    <t>0x07</t>
  </si>
  <si>
    <t>0x22</t>
  </si>
  <si>
    <t>0x23</t>
  </si>
  <si>
    <t>Indicadores (Seção 5.5.2)</t>
  </si>
  <si>
    <t>indicador</t>
  </si>
  <si>
    <t>valor</t>
  </si>
  <si>
    <t>expressão usada</t>
  </si>
  <si>
    <t>Tempo de acerto (ciclos)</t>
  </si>
  <si>
    <t>Penalidade de falta (ciclos)</t>
  </si>
  <si>
    <t>Número de acessos</t>
  </si>
  <si>
    <t>Número de acertos</t>
  </si>
  <si>
    <t>Número de faltas</t>
  </si>
  <si>
    <t>Taxa de acertos</t>
  </si>
  <si>
    <t>Taxa de faltas</t>
  </si>
  <si>
    <t>Faltas compulsórias</t>
  </si>
  <si>
    <t>Faltas por conflito</t>
  </si>
  <si>
    <t>AMAT (ciclos)</t>
  </si>
  <si>
    <t>Teste de conflito com o detector de primos (Seção 5.6) — cache começa invalidada</t>
  </si>
  <si>
    <t>v</t>
  </si>
  <si>
    <t>Resultado do teste</t>
  </si>
  <si>
    <t>Endereço gerado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</si>
</sst>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.0%"/>
  </numFmts>
  <fonts count="24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8" customWidth="1"/>
    <col min="2" max="3" width="13" customWidth="1"/>
    <col min="4" max="5" width="8" customWidth="1"/>
    <col min="6" max="7" width="13" customWidth="1"/>
    <col min="8" max="8" width="24" customWidth="1"/>
    <col min="9" max="9" width="11" customWidth="1"/>
    <col min="10" max="10" width="13" customWidth="1"/>
    <col min="11" max="11" width="12" customWidth="1"/>
    <col min="12" max="12" width="6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1</v>
      </c>
      <c r="B2" s="2" t="s">
        <v>11</v>
      </c>
      <c r="C2" s="2" t="str">
        <f t="shared" ref="C2:C17" si="0">DEC2BIN(HEX2DEC(SUBSTITUTE(UPPER(B2),"0X","")),6)</f>
        <v>000000</v>
      </c>
      <c r="D2" s="2" t="str">
        <f t="shared" ref="D2:D17" si="1">LEFT(C2,3)</f>
        <v>000</v>
      </c>
      <c r="E2" s="2" t="str">
        <f t="shared" ref="E2:E17" si="2">MID(C2,4,2)</f>
        <v>00</v>
      </c>
      <c r="F2" s="2" t="str">
        <f t="shared" ref="F2:F17" si="3">RIGHT(C2,1)</f>
        <v>0</v>
      </c>
      <c r="G2" s="2">
        <f>IF(SUMPRODUCT(--($E$1:E1=E2))&gt;0,1,0)</f>
        <v>0</v>
      </c>
      <c r="H2" s="2" t="str">
        <f>IF(G2=0,"-",INDEX($K:$K,SUMPRODUCT(MAX(($E$1:E1=E2)*ROW($E$1:E1)))))</f>
        <v>-</v>
      </c>
      <c r="I2" s="2" t="str">
        <f t="shared" ref="I2:I17" si="4">IF(AND(G2=1,H2=D2),"ACERTO","FALTA")</f>
        <v>FALTA</v>
      </c>
      <c r="J2" s="2" t="str">
        <f t="shared" ref="J2:J17" si="5">IF(I2="ACERTO","",IF(G2=0,"compulsoria","conflito"))</f>
        <v>compulsoria</v>
      </c>
      <c r="K2" s="2" t="str">
        <f t="shared" ref="K2:K17" si="6">D2</f>
        <v>000</v>
      </c>
    </row>
    <row r="3" spans="1:11">
      <c r="A3" s="2">
        <v>2</v>
      </c>
      <c r="B3" s="2" t="s">
        <v>12</v>
      </c>
      <c r="C3" s="2" t="str">
        <f t="shared" si="0"/>
        <v>000001</v>
      </c>
      <c r="D3" s="2" t="str">
        <f t="shared" si="1"/>
        <v>000</v>
      </c>
      <c r="E3" s="2" t="str">
        <f t="shared" si="2"/>
        <v>00</v>
      </c>
      <c r="F3" s="2" t="str">
        <f t="shared" si="3"/>
        <v>1</v>
      </c>
      <c r="G3" s="2">
        <f>IF(SUMPRODUCT(--($E$1:E2=E3))&gt;0,1,0)</f>
        <v>1</v>
      </c>
      <c r="H3" s="2" t="str">
        <f>IF(G3=0,"-",INDEX($K:$K,SUMPRODUCT(MAX(($E$1:E2=E3)*ROW($E$1:E2)))))</f>
        <v>000</v>
      </c>
      <c r="I3" s="2" t="str">
        <f t="shared" si="4"/>
        <v>ACERTO</v>
      </c>
      <c r="J3" s="2" t="str">
        <f t="shared" si="5"/>
        <v/>
      </c>
      <c r="K3" s="2" t="str">
        <f t="shared" si="6"/>
        <v>000</v>
      </c>
    </row>
    <row r="4" spans="1:11">
      <c r="A4" s="2">
        <v>3</v>
      </c>
      <c r="B4" s="2" t="s">
        <v>13</v>
      </c>
      <c r="C4" s="2" t="str">
        <f t="shared" si="0"/>
        <v>000010</v>
      </c>
      <c r="D4" s="2" t="str">
        <f t="shared" si="1"/>
        <v>000</v>
      </c>
      <c r="E4" s="2" t="str">
        <f t="shared" si="2"/>
        <v>01</v>
      </c>
      <c r="F4" s="2" t="str">
        <f t="shared" si="3"/>
        <v>0</v>
      </c>
      <c r="G4" s="2">
        <f>IF(SUMPRODUCT(--($E$1:E3=E4))&gt;0,1,0)</f>
        <v>0</v>
      </c>
      <c r="H4" s="2" t="str">
        <f>IF(G4=0,"-",INDEX($K:$K,SUMPRODUCT(MAX(($E$1:E3=E4)*ROW($E$1:E3)))))</f>
        <v>-</v>
      </c>
      <c r="I4" s="2" t="str">
        <f t="shared" si="4"/>
        <v>FALTA</v>
      </c>
      <c r="J4" s="2" t="str">
        <f t="shared" si="5"/>
        <v>compulsoria</v>
      </c>
      <c r="K4" s="2" t="str">
        <f t="shared" si="6"/>
        <v>000</v>
      </c>
    </row>
    <row r="5" spans="1:11">
      <c r="A5" s="2">
        <v>4</v>
      </c>
      <c r="B5" s="2" t="s">
        <v>14</v>
      </c>
      <c r="C5" s="2" t="str">
        <f t="shared" si="0"/>
        <v>000011</v>
      </c>
      <c r="D5" s="2" t="str">
        <f t="shared" si="1"/>
        <v>000</v>
      </c>
      <c r="E5" s="2" t="str">
        <f t="shared" si="2"/>
        <v>01</v>
      </c>
      <c r="F5" s="2" t="str">
        <f t="shared" si="3"/>
        <v>1</v>
      </c>
      <c r="G5" s="2">
        <f>IF(SUMPRODUCT(--($E$1:E4=E5))&gt;0,1,0)</f>
        <v>1</v>
      </c>
      <c r="H5" s="2" t="str">
        <f>IF(G5=0,"-",INDEX($K:$K,SUMPRODUCT(MAX(($E$1:E4=E5)*ROW($E$1:E4)))))</f>
        <v>000</v>
      </c>
      <c r="I5" s="2" t="str">
        <f t="shared" si="4"/>
        <v>ACERTO</v>
      </c>
      <c r="J5" s="2" t="str">
        <f t="shared" si="5"/>
        <v/>
      </c>
      <c r="K5" s="2" t="str">
        <f t="shared" si="6"/>
        <v>000</v>
      </c>
    </row>
    <row r="6" spans="1:11">
      <c r="A6" s="2">
        <v>5</v>
      </c>
      <c r="B6" s="2" t="s">
        <v>11</v>
      </c>
      <c r="C6" s="2" t="str">
        <f t="shared" si="0"/>
        <v>000000</v>
      </c>
      <c r="D6" s="2" t="str">
        <f t="shared" si="1"/>
        <v>000</v>
      </c>
      <c r="E6" s="2" t="str">
        <f t="shared" si="2"/>
        <v>00</v>
      </c>
      <c r="F6" s="2" t="str">
        <f t="shared" si="3"/>
        <v>0</v>
      </c>
      <c r="G6" s="2">
        <f>IF(SUMPRODUCT(--($E$1:E5=E6))&gt;0,1,0)</f>
        <v>1</v>
      </c>
      <c r="H6" s="2" t="str">
        <f>IF(G6=0,"-",INDEX($K:$K,SUMPRODUCT(MAX(($E$1:E5=E6)*ROW($E$1:E5)))))</f>
        <v>000</v>
      </c>
      <c r="I6" s="2" t="str">
        <f t="shared" si="4"/>
        <v>ACERTO</v>
      </c>
      <c r="J6" s="2" t="str">
        <f t="shared" si="5"/>
        <v/>
      </c>
      <c r="K6" s="2" t="str">
        <f t="shared" si="6"/>
        <v>000</v>
      </c>
    </row>
    <row r="7" spans="1:11">
      <c r="A7" s="2">
        <v>6</v>
      </c>
      <c r="B7" s="2" t="s">
        <v>15</v>
      </c>
      <c r="C7" s="2" t="str">
        <f t="shared" si="0"/>
        <v>100000</v>
      </c>
      <c r="D7" s="2" t="str">
        <f t="shared" si="1"/>
        <v>100</v>
      </c>
      <c r="E7" s="2" t="str">
        <f t="shared" si="2"/>
        <v>00</v>
      </c>
      <c r="F7" s="2" t="str">
        <f t="shared" si="3"/>
        <v>0</v>
      </c>
      <c r="G7" s="2">
        <f>IF(SUMPRODUCT(--($E$1:E6=E7))&gt;0,1,0)</f>
        <v>1</v>
      </c>
      <c r="H7" s="2" t="str">
        <f>IF(G7=0,"-",INDEX($K:$K,SUMPRODUCT(MAX(($E$1:E6=E7)*ROW($E$1:E6)))))</f>
        <v>000</v>
      </c>
      <c r="I7" s="2" t="str">
        <f t="shared" si="4"/>
        <v>FALTA</v>
      </c>
      <c r="J7" s="2" t="str">
        <f t="shared" si="5"/>
        <v>conflito</v>
      </c>
      <c r="K7" s="2" t="str">
        <f t="shared" si="6"/>
        <v>100</v>
      </c>
    </row>
    <row r="8" spans="1:11">
      <c r="A8" s="2">
        <v>7</v>
      </c>
      <c r="B8" s="2" t="s">
        <v>16</v>
      </c>
      <c r="C8" s="2" t="str">
        <f t="shared" si="0"/>
        <v>100001</v>
      </c>
      <c r="D8" s="2" t="str">
        <f t="shared" si="1"/>
        <v>100</v>
      </c>
      <c r="E8" s="2" t="str">
        <f t="shared" si="2"/>
        <v>00</v>
      </c>
      <c r="F8" s="2" t="str">
        <f t="shared" si="3"/>
        <v>1</v>
      </c>
      <c r="G8" s="2">
        <f>IF(SUMPRODUCT(--($E$1:E7=E8))&gt;0,1,0)</f>
        <v>1</v>
      </c>
      <c r="H8" s="2" t="str">
        <f>IF(G8=0,"-",INDEX($K:$K,SUMPRODUCT(MAX(($E$1:E7=E8)*ROW($E$1:E7)))))</f>
        <v>100</v>
      </c>
      <c r="I8" s="2" t="str">
        <f t="shared" si="4"/>
        <v>ACERTO</v>
      </c>
      <c r="J8" s="2" t="str">
        <f t="shared" si="5"/>
        <v/>
      </c>
      <c r="K8" s="2" t="str">
        <f t="shared" si="6"/>
        <v>100</v>
      </c>
    </row>
    <row r="9" spans="1:11">
      <c r="A9" s="2">
        <v>8</v>
      </c>
      <c r="B9" s="2" t="s">
        <v>11</v>
      </c>
      <c r="C9" s="2" t="str">
        <f t="shared" si="0"/>
        <v>000000</v>
      </c>
      <c r="D9" s="2" t="str">
        <f t="shared" si="1"/>
        <v>000</v>
      </c>
      <c r="E9" s="2" t="str">
        <f t="shared" si="2"/>
        <v>00</v>
      </c>
      <c r="F9" s="2" t="str">
        <f t="shared" si="3"/>
        <v>0</v>
      </c>
      <c r="G9" s="2">
        <f>IF(SUMPRODUCT(--($E$1:E8=E9))&gt;0,1,0)</f>
        <v>1</v>
      </c>
      <c r="H9" s="2" t="str">
        <f>IF(G9=0,"-",INDEX($K:$K,SUMPRODUCT(MAX(($E$1:E8=E9)*ROW($E$1:E8)))))</f>
        <v>100</v>
      </c>
      <c r="I9" s="2" t="str">
        <f t="shared" si="4"/>
        <v>FALTA</v>
      </c>
      <c r="J9" s="2" t="str">
        <f t="shared" si="5"/>
        <v>conflito</v>
      </c>
      <c r="K9" s="2" t="str">
        <f t="shared" si="6"/>
        <v>000</v>
      </c>
    </row>
    <row r="10" spans="1:11">
      <c r="A10" s="2">
        <v>9</v>
      </c>
      <c r="B10" s="2" t="s">
        <v>17</v>
      </c>
      <c r="C10" s="2" t="str">
        <f t="shared" si="0"/>
        <v>000100</v>
      </c>
      <c r="D10" s="2" t="str">
        <f t="shared" si="1"/>
        <v>000</v>
      </c>
      <c r="E10" s="2" t="str">
        <f t="shared" si="2"/>
        <v>10</v>
      </c>
      <c r="F10" s="2" t="str">
        <f t="shared" si="3"/>
        <v>0</v>
      </c>
      <c r="G10" s="2">
        <f>IF(SUMPRODUCT(--($E$1:E9=E10))&gt;0,1,0)</f>
        <v>0</v>
      </c>
      <c r="H10" s="2" t="str">
        <f>IF(G10=0,"-",INDEX($K:$K,SUMPRODUCT(MAX(($E$1:E9=E10)*ROW($E$1:E9)))))</f>
        <v>-</v>
      </c>
      <c r="I10" s="2" t="str">
        <f t="shared" si="4"/>
        <v>FALTA</v>
      </c>
      <c r="J10" s="2" t="str">
        <f t="shared" si="5"/>
        <v>compulsoria</v>
      </c>
      <c r="K10" s="2" t="str">
        <f t="shared" si="6"/>
        <v>000</v>
      </c>
    </row>
    <row r="11" spans="1:11">
      <c r="A11" s="2">
        <v>10</v>
      </c>
      <c r="B11" s="2" t="s">
        <v>18</v>
      </c>
      <c r="C11" s="2" t="str">
        <f t="shared" si="0"/>
        <v>000101</v>
      </c>
      <c r="D11" s="2" t="str">
        <f t="shared" si="1"/>
        <v>000</v>
      </c>
      <c r="E11" s="2" t="str">
        <f t="shared" si="2"/>
        <v>10</v>
      </c>
      <c r="F11" s="2" t="str">
        <f t="shared" si="3"/>
        <v>1</v>
      </c>
      <c r="G11" s="2">
        <f>IF(SUMPRODUCT(--($E$1:E10=E11))&gt;0,1,0)</f>
        <v>1</v>
      </c>
      <c r="H11" s="2" t="str">
        <f>IF(G11=0,"-",INDEX($K:$K,SUMPRODUCT(MAX(($E$1:E10=E11)*ROW($E$1:E10)))))</f>
        <v>000</v>
      </c>
      <c r="I11" s="2" t="str">
        <f t="shared" si="4"/>
        <v>ACERTO</v>
      </c>
      <c r="J11" s="2" t="str">
        <f t="shared" si="5"/>
        <v/>
      </c>
      <c r="K11" s="2" t="str">
        <f t="shared" si="6"/>
        <v>000</v>
      </c>
    </row>
    <row r="12" spans="1:11">
      <c r="A12" s="2">
        <v>11</v>
      </c>
      <c r="B12" s="2" t="s">
        <v>19</v>
      </c>
      <c r="C12" s="2" t="str">
        <f t="shared" si="0"/>
        <v>000110</v>
      </c>
      <c r="D12" s="2" t="str">
        <f t="shared" si="1"/>
        <v>000</v>
      </c>
      <c r="E12" s="2" t="str">
        <f t="shared" si="2"/>
        <v>11</v>
      </c>
      <c r="F12" s="2" t="str">
        <f t="shared" si="3"/>
        <v>0</v>
      </c>
      <c r="G12" s="2">
        <f>IF(SUMPRODUCT(--($E$1:E11=E12))&gt;0,1,0)</f>
        <v>0</v>
      </c>
      <c r="H12" s="2" t="str">
        <f>IF(G12=0,"-",INDEX($K:$K,SUMPRODUCT(MAX(($E$1:E11=E12)*ROW($E$1:E11)))))</f>
        <v>-</v>
      </c>
      <c r="I12" s="2" t="str">
        <f t="shared" si="4"/>
        <v>FALTA</v>
      </c>
      <c r="J12" s="2" t="str">
        <f t="shared" si="5"/>
        <v>compulsoria</v>
      </c>
      <c r="K12" s="2" t="str">
        <f t="shared" si="6"/>
        <v>000</v>
      </c>
    </row>
    <row r="13" spans="1:11">
      <c r="A13" s="2">
        <v>12</v>
      </c>
      <c r="B13" s="2" t="s">
        <v>20</v>
      </c>
      <c r="C13" s="2" t="str">
        <f t="shared" si="0"/>
        <v>000111</v>
      </c>
      <c r="D13" s="2" t="str">
        <f t="shared" si="1"/>
        <v>000</v>
      </c>
      <c r="E13" s="2" t="str">
        <f t="shared" si="2"/>
        <v>11</v>
      </c>
      <c r="F13" s="2" t="str">
        <f t="shared" si="3"/>
        <v>1</v>
      </c>
      <c r="G13" s="2">
        <f>IF(SUMPRODUCT(--($E$1:E12=E13))&gt;0,1,0)</f>
        <v>1</v>
      </c>
      <c r="H13" s="2" t="str">
        <f>IF(G13=0,"-",INDEX($K:$K,SUMPRODUCT(MAX(($E$1:E12=E13)*ROW($E$1:E12)))))</f>
        <v>000</v>
      </c>
      <c r="I13" s="2" t="str">
        <f t="shared" si="4"/>
        <v>ACERTO</v>
      </c>
      <c r="J13" s="2" t="str">
        <f t="shared" si="5"/>
        <v/>
      </c>
      <c r="K13" s="2" t="str">
        <f t="shared" si="6"/>
        <v>000</v>
      </c>
    </row>
    <row r="14" spans="1:11">
      <c r="A14" s="2">
        <v>13</v>
      </c>
      <c r="B14" s="2" t="s">
        <v>21</v>
      </c>
      <c r="C14" s="2" t="str">
        <f t="shared" si="0"/>
        <v>100010</v>
      </c>
      <c r="D14" s="2" t="str">
        <f t="shared" si="1"/>
        <v>100</v>
      </c>
      <c r="E14" s="2" t="str">
        <f t="shared" si="2"/>
        <v>01</v>
      </c>
      <c r="F14" s="2" t="str">
        <f t="shared" si="3"/>
        <v>0</v>
      </c>
      <c r="G14" s="2">
        <f>IF(SUMPRODUCT(--($E$1:E13=E14))&gt;0,1,0)</f>
        <v>1</v>
      </c>
      <c r="H14" s="2" t="str">
        <f>IF(G14=0,"-",INDEX($K:$K,SUMPRODUCT(MAX(($E$1:E13=E14)*ROW($E$1:E13)))))</f>
        <v>000</v>
      </c>
      <c r="I14" s="2" t="str">
        <f t="shared" si="4"/>
        <v>FALTA</v>
      </c>
      <c r="J14" s="2" t="str">
        <f t="shared" si="5"/>
        <v>conflito</v>
      </c>
      <c r="K14" s="2" t="str">
        <f t="shared" si="6"/>
        <v>100</v>
      </c>
    </row>
    <row r="15" spans="1:11">
      <c r="A15" s="2">
        <v>14</v>
      </c>
      <c r="B15" s="2" t="s">
        <v>22</v>
      </c>
      <c r="C15" s="2" t="str">
        <f t="shared" si="0"/>
        <v>100011</v>
      </c>
      <c r="D15" s="2" t="str">
        <f t="shared" si="1"/>
        <v>100</v>
      </c>
      <c r="E15" s="2" t="str">
        <f t="shared" si="2"/>
        <v>01</v>
      </c>
      <c r="F15" s="2" t="str">
        <f t="shared" si="3"/>
        <v>1</v>
      </c>
      <c r="G15" s="2">
        <f>IF(SUMPRODUCT(--($E$1:E14=E15))&gt;0,1,0)</f>
        <v>1</v>
      </c>
      <c r="H15" s="2" t="str">
        <f>IF(G15=0,"-",INDEX($K:$K,SUMPRODUCT(MAX(($E$1:E14=E15)*ROW($E$1:E14)))))</f>
        <v>100</v>
      </c>
      <c r="I15" s="2" t="str">
        <f t="shared" si="4"/>
        <v>ACERTO</v>
      </c>
      <c r="J15" s="2" t="str">
        <f t="shared" si="5"/>
        <v/>
      </c>
      <c r="K15" s="2" t="str">
        <f t="shared" si="6"/>
        <v>100</v>
      </c>
    </row>
    <row r="16" spans="1:11">
      <c r="A16" s="2">
        <v>15</v>
      </c>
      <c r="B16" s="2" t="s">
        <v>13</v>
      </c>
      <c r="C16" s="2" t="str">
        <f t="shared" si="0"/>
        <v>000010</v>
      </c>
      <c r="D16" s="2" t="str">
        <f t="shared" si="1"/>
        <v>000</v>
      </c>
      <c r="E16" s="2" t="str">
        <f t="shared" si="2"/>
        <v>01</v>
      </c>
      <c r="F16" s="2" t="str">
        <f t="shared" si="3"/>
        <v>0</v>
      </c>
      <c r="G16" s="2">
        <f>IF(SUMPRODUCT(--($E$1:E15=E16))&gt;0,1,0)</f>
        <v>1</v>
      </c>
      <c r="H16" s="2" t="str">
        <f>IF(G16=0,"-",INDEX($K:$K,SUMPRODUCT(MAX(($E$1:E15=E16)*ROW($E$1:E15)))))</f>
        <v>100</v>
      </c>
      <c r="I16" s="2" t="str">
        <f t="shared" si="4"/>
        <v>FALTA</v>
      </c>
      <c r="J16" s="2" t="str">
        <f t="shared" si="5"/>
        <v>conflito</v>
      </c>
      <c r="K16" s="2" t="str">
        <f t="shared" si="6"/>
        <v>000</v>
      </c>
    </row>
    <row r="17" spans="1:11">
      <c r="A17" s="2">
        <v>16</v>
      </c>
      <c r="B17" s="2" t="s">
        <v>14</v>
      </c>
      <c r="C17" s="2" t="str">
        <f t="shared" si="0"/>
        <v>000011</v>
      </c>
      <c r="D17" s="2" t="str">
        <f t="shared" si="1"/>
        <v>000</v>
      </c>
      <c r="E17" s="2" t="str">
        <f t="shared" si="2"/>
        <v>01</v>
      </c>
      <c r="F17" s="2" t="str">
        <f t="shared" si="3"/>
        <v>1</v>
      </c>
      <c r="G17" s="2">
        <f>IF(SUMPRODUCT(--($E$1:E16=E17))&gt;0,1,0)</f>
        <v>1</v>
      </c>
      <c r="H17" s="2" t="str">
        <f>IF(G17=0,"-",INDEX($K:$K,SUMPRODUCT(MAX(($E$1:E16=E17)*ROW($E$1:E16)))))</f>
        <v>000</v>
      </c>
      <c r="I17" s="2" t="str">
        <f t="shared" si="4"/>
        <v>ACERTO</v>
      </c>
      <c r="J17" s="2" t="str">
        <f t="shared" si="5"/>
        <v/>
      </c>
      <c r="K17" s="2" t="str">
        <f t="shared" si="6"/>
        <v>000</v>
      </c>
    </row>
    <row r="19" spans="1:11">
      <c r="A19" s="3" t="s">
        <v>23</v>
      </c>
    </row>
    <row r="20" spans="1:11">
      <c r="A20" s="1" t="s">
        <v>24</v>
      </c>
      <c r="B20" s="1"/>
      <c r="C20" s="1"/>
      <c r="D20" s="1" t="s">
        <v>25</v>
      </c>
      <c r="E20" s="1" t="s">
        <v>26</v>
      </c>
      <c r="F20" s="1"/>
      <c r="G20" s="1"/>
      <c r="H20" s="1"/>
      <c r="I20" s="1"/>
      <c r="J20" s="1"/>
      <c r="K20" s="1"/>
    </row>
    <row r="21" spans="1:11">
      <c r="A21" s="4" t="s">
        <v>27</v>
      </c>
      <c r="B21" s="5"/>
      <c r="C21" s="5"/>
      <c r="D21" s="6">
        <v>1</v>
      </c>
      <c r="E21" s="4" t="str">
        <f>"Tabela 6"</f>
        <v>Tabela 6</v>
      </c>
      <c r="F21" s="5"/>
      <c r="G21" s="5"/>
      <c r="H21" s="5"/>
      <c r="I21" s="5"/>
      <c r="J21" s="5"/>
      <c r="K21" s="5"/>
    </row>
    <row r="22" spans="1:11">
      <c r="A22" s="4" t="s">
        <v>28</v>
      </c>
      <c r="B22" s="5"/>
      <c r="C22" s="5"/>
      <c r="D22" s="6">
        <v>8</v>
      </c>
      <c r="E22" s="4" t="str">
        <f>"Tabela 6"</f>
        <v>Tabela 6</v>
      </c>
      <c r="F22" s="5"/>
      <c r="G22" s="5"/>
      <c r="H22" s="5"/>
      <c r="I22" s="5"/>
      <c r="J22" s="5"/>
      <c r="K22" s="5"/>
    </row>
    <row r="23" spans="1:11">
      <c r="A23" s="4" t="s">
        <v>29</v>
      </c>
      <c r="B23" s="5"/>
      <c r="C23" s="5"/>
      <c r="D23" s="6">
        <f>COUNTA(B2:B17)</f>
        <v>16</v>
      </c>
      <c r="E23" s="4" t="str">
        <f>"COUNTA(endereco_hex) = "&amp;D23</f>
        <v>COUNTA(endereco_hex) = 16</v>
      </c>
      <c r="F23" s="5"/>
      <c r="G23" s="5"/>
      <c r="H23" s="5"/>
      <c r="I23" s="5"/>
      <c r="J23" s="5"/>
      <c r="K23" s="5"/>
    </row>
    <row r="24" spans="1:11">
      <c r="A24" s="4" t="s">
        <v>30</v>
      </c>
      <c r="B24" s="5"/>
      <c r="C24" s="5"/>
      <c r="D24" s="6">
        <f>COUNTIF(I2:I17,"ACERTO")</f>
        <v>8</v>
      </c>
      <c r="E24" s="4" t="str">
        <f>"COUNTIF(resultado; ""ACERTO"") = "&amp;D24</f>
        <v>COUNTIF(resultado; "ACERTO") = 8</v>
      </c>
      <c r="F24" s="5"/>
      <c r="G24" s="5"/>
      <c r="H24" s="5"/>
      <c r="I24" s="5"/>
      <c r="J24" s="5"/>
      <c r="K24" s="5"/>
    </row>
    <row r="25" spans="1:11">
      <c r="A25" s="4" t="s">
        <v>31</v>
      </c>
      <c r="B25" s="5"/>
      <c r="C25" s="5"/>
      <c r="D25" s="6">
        <f>COUNTIF(I2:I17,"FALTA")</f>
        <v>8</v>
      </c>
      <c r="E25" s="4" t="str">
        <f>"COUNTIF(resultado; ""FALTA"") = "&amp;D25</f>
        <v>COUNTIF(resultado; "FALTA") = 8</v>
      </c>
      <c r="F25" s="5"/>
      <c r="G25" s="5"/>
      <c r="H25" s="5"/>
      <c r="I25" s="5"/>
      <c r="J25" s="5"/>
      <c r="K25" s="5"/>
    </row>
    <row r="26" spans="1:11">
      <c r="A26" s="4" t="s">
        <v>32</v>
      </c>
      <c r="B26" s="5"/>
      <c r="C26" s="5"/>
      <c r="D26" s="7">
        <f>D24/D23</f>
        <v>0.5</v>
      </c>
      <c r="E26" s="4" t="str">
        <f>"acertos ÷ acessos = "&amp;D24&amp;" ÷ "&amp;D23&amp;" = "&amp;ROUND(D26*100,2)&amp;"%"</f>
        <v>acertos ÷ acessos = 8 ÷ 16 = 50%</v>
      </c>
      <c r="F26" s="5"/>
      <c r="G26" s="5"/>
      <c r="H26" s="5"/>
      <c r="I26" s="5"/>
      <c r="J26" s="5"/>
      <c r="K26" s="5"/>
    </row>
    <row r="27" spans="1:11">
      <c r="A27" s="4" t="s">
        <v>33</v>
      </c>
      <c r="B27" s="5"/>
      <c r="C27" s="5"/>
      <c r="D27" s="7">
        <f>D25/D23</f>
        <v>0.5</v>
      </c>
      <c r="E27" s="4" t="str">
        <f>"faltas ÷ acessos = "&amp;D25&amp;" ÷ "&amp;D23&amp;" = "&amp;ROUND(D27*100,2)&amp;"%"</f>
        <v>faltas ÷ acessos = 8 ÷ 16 = 50%</v>
      </c>
      <c r="F27" s="5"/>
      <c r="G27" s="5"/>
      <c r="H27" s="5"/>
      <c r="I27" s="5"/>
      <c r="J27" s="5"/>
      <c r="K27" s="5"/>
    </row>
    <row r="28" spans="1:11">
      <c r="A28" s="4" t="s">
        <v>34</v>
      </c>
      <c r="B28" s="5"/>
      <c r="C28" s="5"/>
      <c r="D28" s="6">
        <f>COUNTIF(J2:J17,"compulsoria")</f>
        <v>4</v>
      </c>
      <c r="E28" s="4" t="str">
        <f>"COUNTIF(tipo_falta; ""compulsoria"") = "&amp;D28</f>
        <v>COUNTIF(tipo_falta; "compulsoria") = 4</v>
      </c>
      <c r="F28" s="5"/>
      <c r="G28" s="5"/>
      <c r="H28" s="5"/>
      <c r="I28" s="5"/>
      <c r="J28" s="5"/>
      <c r="K28" s="5"/>
    </row>
    <row r="29" spans="1:11">
      <c r="A29" s="4" t="s">
        <v>35</v>
      </c>
      <c r="B29" s="5"/>
      <c r="C29" s="5"/>
      <c r="D29" s="6">
        <f>COUNTIF(J2:J17,"conflito")</f>
        <v>4</v>
      </c>
      <c r="E29" s="4" t="str">
        <f>"COUNTIF(tipo_falta; ""conflito"") = "&amp;D29</f>
        <v>COUNTIF(tipo_falta; "conflito") = 4</v>
      </c>
      <c r="F29" s="5"/>
      <c r="G29" s="5"/>
      <c r="H29" s="5"/>
      <c r="I29" s="5"/>
      <c r="J29" s="5"/>
      <c r="K29" s="5"/>
    </row>
    <row r="30" spans="1:11">
      <c r="A30" s="4" t="s">
        <v>36</v>
      </c>
      <c r="B30" s="5"/>
      <c r="C30" s="5"/>
      <c r="D30" s="8">
        <f>D21+D27*D22</f>
        <v>5</v>
      </c>
      <c r="E30" s="4" t="str">
        <f>"tempo de acerto + taxa de faltas × penalidade = "&amp;D21&amp;" + "&amp;ROUND(D27,4)&amp;" × "&amp;D22&amp;" = "&amp;ROUND(D30,2)</f>
        <v>tempo de acerto + taxa de faltas × penalidade = 1 + 0,5 × 8 = 5</v>
      </c>
      <c r="F30" s="5"/>
      <c r="G30" s="5"/>
      <c r="H30" s="5"/>
      <c r="I30" s="5"/>
      <c r="J30" s="5"/>
      <c r="K30" s="5"/>
    </row>
    <row r="32" spans="1:11">
      <c r="A32" s="3" t="s">
        <v>37</v>
      </c>
    </row>
    <row r="33" spans="1:12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  <c r="I33" s="1" t="s">
        <v>8</v>
      </c>
      <c r="J33" s="1" t="s">
        <v>9</v>
      </c>
      <c r="K33" s="1" t="s">
        <v>10</v>
      </c>
      <c r="L33" s="1" t="s">
        <v>38</v>
      </c>
    </row>
    <row r="34" spans="1:12">
      <c r="A34" s="2">
        <v>1</v>
      </c>
      <c r="B34" s="2" t="str">
        <f>"0x"&amp;DEC2HEX(L34*8,2)</f>
        <v>0x10</v>
      </c>
      <c r="C34" s="2" t="str">
        <f>DEC2BIN(HEX2DEC(SUBSTITUTE(UPPER(B34),"0X","")),6)</f>
        <v>010000</v>
      </c>
      <c r="D34" s="2" t="str">
        <f>LEFT(C34,3)</f>
        <v>010</v>
      </c>
      <c r="E34" s="2" t="str">
        <f>MID(C34,4,2)</f>
        <v>00</v>
      </c>
      <c r="F34" s="2" t="str">
        <f>RIGHT(C34,1)</f>
        <v>0</v>
      </c>
      <c r="G34" s="2">
        <f>IF(SUMPRODUCT(--($E$33:E33=E34))&gt;0,1,0)</f>
        <v>0</v>
      </c>
      <c r="H34" s="2" t="str">
        <f>IF(G34=0,"-",INDEX($K:$K,SUMPRODUCT(MAX(($E$33:E33=E34)*ROW($E$33:E33)))))</f>
        <v>-</v>
      </c>
      <c r="I34" s="2" t="str">
        <f>IF(AND(G34=1,H34=D34),"ACERTO","FALTA")</f>
        <v>FALTA</v>
      </c>
      <c r="J34" s="2" t="str">
        <f>IF(I34="ACERTO","",IF(G34=0,"compulsoria","conflito"))</f>
        <v>compulsoria</v>
      </c>
      <c r="K34" s="2" t="str">
        <f>D34</f>
        <v>010</v>
      </c>
      <c r="L34" s="2">
        <v>2</v>
      </c>
    </row>
    <row r="35" spans="1:12">
      <c r="A35" s="2">
        <v>2</v>
      </c>
      <c r="B35" s="2" t="str">
        <f>"0x"&amp;DEC2HEX(L35*8,2)</f>
        <v>0x18</v>
      </c>
      <c r="C35" s="2" t="str">
        <f>DEC2BIN(HEX2DEC(SUBSTITUTE(UPPER(B35),"0X","")),6)</f>
        <v>011000</v>
      </c>
      <c r="D35" s="2" t="str">
        <f>LEFT(C35,3)</f>
        <v>011</v>
      </c>
      <c r="E35" s="2" t="str">
        <f>MID(C35,4,2)</f>
        <v>00</v>
      </c>
      <c r="F35" s="2" t="str">
        <f>RIGHT(C35,1)</f>
        <v>0</v>
      </c>
      <c r="G35" s="2">
        <f>IF(SUMPRODUCT(--($E$33:E34=E35))&gt;0,1,0)</f>
        <v>1</v>
      </c>
      <c r="H35" s="2" t="str">
        <f>IF(G35=0,"-",INDEX($K:$K,SUMPRODUCT(MAX(($E$33:E34=E35)*ROW($E$33:E34)))))</f>
        <v>010</v>
      </c>
      <c r="I35" s="2" t="str">
        <f>IF(AND(G35=1,H35=D35),"ACERTO","FALTA")</f>
        <v>FALTA</v>
      </c>
      <c r="J35" s="2" t="str">
        <f>IF(I35="ACERTO","",IF(G35=0,"compulsoria","conflito"))</f>
        <v>conflito</v>
      </c>
      <c r="K35" s="2" t="str">
        <f>D35</f>
        <v>011</v>
      </c>
      <c r="L35" s="2">
        <v>3</v>
      </c>
    </row>
    <row r="36" spans="1:12">
      <c r="A36" s="2">
        <v>3</v>
      </c>
      <c r="B36" s="2" t="str">
        <f>"0x"&amp;DEC2HEX(L36*8,2)</f>
        <v>0x28</v>
      </c>
      <c r="C36" s="2" t="str">
        <f>DEC2BIN(HEX2DEC(SUBSTITUTE(UPPER(B36),"0X","")),6)</f>
        <v>101000</v>
      </c>
      <c r="D36" s="2" t="str">
        <f>LEFT(C36,3)</f>
        <v>101</v>
      </c>
      <c r="E36" s="2" t="str">
        <f>MID(C36,4,2)</f>
        <v>00</v>
      </c>
      <c r="F36" s="2" t="str">
        <f>RIGHT(C36,1)</f>
        <v>0</v>
      </c>
      <c r="G36" s="2">
        <f>IF(SUMPRODUCT(--($E$33:E35=E36))&gt;0,1,0)</f>
        <v>1</v>
      </c>
      <c r="H36" s="2" t="str">
        <f>IF(G36=0,"-",INDEX($K:$K,SUMPRODUCT(MAX(($E$33:E35=E36)*ROW($E$33:E35)))))</f>
        <v>011</v>
      </c>
      <c r="I36" s="2" t="str">
        <f>IF(AND(G36=1,H36=D36),"ACERTO","FALTA")</f>
        <v>FALTA</v>
      </c>
      <c r="J36" s="2" t="str">
        <f>IF(I36="ACERTO","",IF(G36=0,"compulsoria","conflito"))</f>
        <v>conflito</v>
      </c>
      <c r="K36" s="2" t="str">
        <f>D36</f>
        <v>101</v>
      </c>
      <c r="L36" s="2">
        <v>5</v>
      </c>
    </row>
    <row r="37" spans="1:12">
      <c r="A37" s="2">
        <v>4</v>
      </c>
      <c r="B37" s="2" t="str">
        <f>"0x"&amp;DEC2HEX(L37*8,2)</f>
        <v>0x38</v>
      </c>
      <c r="C37" s="2" t="str">
        <f>DEC2BIN(HEX2DEC(SUBSTITUTE(UPPER(B37),"0X","")),6)</f>
        <v>111000</v>
      </c>
      <c r="D37" s="2" t="str">
        <f>LEFT(C37,3)</f>
        <v>111</v>
      </c>
      <c r="E37" s="2" t="str">
        <f>MID(C37,4,2)</f>
        <v>00</v>
      </c>
      <c r="F37" s="2" t="str">
        <f>RIGHT(C37,1)</f>
        <v>0</v>
      </c>
      <c r="G37" s="2">
        <f>IF(SUMPRODUCT(--($E$33:E36=E37))&gt;0,1,0)</f>
        <v>1</v>
      </c>
      <c r="H37" s="2" t="str">
        <f>IF(G37=0,"-",INDEX($K:$K,SUMPRODUCT(MAX(($E$33:E36=E37)*ROW($E$33:E36)))))</f>
        <v>101</v>
      </c>
      <c r="I37" s="2" t="str">
        <f>IF(AND(G37=1,H37=D37),"ACERTO","FALTA")</f>
        <v>FALTA</v>
      </c>
      <c r="J37" s="2" t="str">
        <f>IF(I37="ACERTO","",IF(G37=0,"compulsoria","conflito"))</f>
        <v>conflito</v>
      </c>
      <c r="K37" s="2" t="str">
        <f>D37</f>
        <v>111</v>
      </c>
      <c r="L37" s="2">
        <v>7</v>
      </c>
    </row>
    <row r="39" spans="1:12">
      <c r="A39" s="3" t="s">
        <v>39</v>
      </c>
    </row>
    <row r="40" spans="1:12">
      <c r="A40" s="1" t="s">
        <v>24</v>
      </c>
      <c r="B40" s="1"/>
      <c r="C40" s="1"/>
      <c r="D40" s="1" t="s">
        <v>25</v>
      </c>
      <c r="E40" s="1" t="s">
        <v>26</v>
      </c>
      <c r="F40" s="1"/>
      <c r="G40" s="1"/>
      <c r="H40" s="1"/>
      <c r="I40" s="1"/>
      <c r="J40" s="1"/>
      <c r="K40" s="1"/>
    </row>
    <row r="41" spans="1:12">
      <c r="A41" s="4" t="s">
        <v>40</v>
      </c>
      <c r="B41" s="5"/>
      <c r="C41" s="5"/>
      <c r="D41" s="2" t="str">
        <f>"—"</f>
        <v>—</v>
      </c>
      <c r="E41" s="4" t="str">
        <f>"endereco = v &lt;&lt; 3 = v × 8, para v primo (2, 3, 5, 7)"</f>
        <v>endereco = v &lt;&lt; 3 = v × 8, para v primo (2, 3, 5, 7)</v>
      </c>
      <c r="F41" s="5"/>
      <c r="G41" s="5"/>
      <c r="H41" s="5"/>
      <c r="I41" s="5"/>
      <c r="J41" s="5"/>
      <c r="K41" s="5"/>
    </row>
    <row r="42" spans="1:12">
      <c r="A42" s="4" t="s">
        <v>30</v>
      </c>
      <c r="B42" s="5"/>
      <c r="C42" s="5"/>
      <c r="D42" s="2">
        <f>COUNTIF(I34:I37,"ACERTO")</f>
        <v>0</v>
      </c>
      <c r="E42" s="4" t="str">
        <f>"COUNTIF(resultado; ""ACERTO"") = "&amp;D42</f>
        <v>COUNTIF(resultado; "ACERTO") = 0</v>
      </c>
      <c r="F42" s="5"/>
      <c r="G42" s="5"/>
      <c r="H42" s="5"/>
      <c r="I42" s="5"/>
      <c r="J42" s="5"/>
      <c r="K42" s="5"/>
    </row>
    <row r="43" spans="1:12">
      <c r="A43" s="4" t="s">
        <v>34</v>
      </c>
      <c r="B43" s="5"/>
      <c r="C43" s="5"/>
      <c r="D43" s="2">
        <f>COUNTIF(J34:J37,"compulsoria")</f>
        <v>1</v>
      </c>
      <c r="E43" s="4" t="str">
        <f>"COUNTIF(tipo_falta; ""compulsoria"") = "&amp;D43</f>
        <v>COUNTIF(tipo_falta; "compulsoria") = 1</v>
      </c>
      <c r="F43" s="5"/>
      <c r="G43" s="5"/>
      <c r="H43" s="5"/>
      <c r="I43" s="5"/>
      <c r="J43" s="5"/>
      <c r="K43" s="5"/>
    </row>
    <row r="44" spans="1:12">
      <c r="A44" s="4" t="s">
        <v>35</v>
      </c>
      <c r="B44" s="5"/>
      <c r="C44" s="5"/>
      <c r="D44" s="2">
        <f>COUNTIF(J34:J37,"conflito")</f>
        <v>3</v>
      </c>
      <c r="E44" s="4" t="str">
        <f>"COUNTIF(tipo_falta; ""conflito"") = "&amp;D44</f>
        <v>COUNTIF(tipo_falta; "conflito") = 3</v>
      </c>
      <c r="F44" s="5"/>
      <c r="G44" s="5"/>
      <c r="H44" s="5"/>
      <c r="I44" s="5"/>
      <c r="J44" s="5"/>
      <c r="K44" s="5"/>
    </row>
  </sheetData>
  <mergeCells count="32">
    <mergeCell ref="A20:C20"/>
    <mergeCell ref="E20:K20"/>
    <mergeCell ref="A21:C21"/>
    <mergeCell ref="E21:K21"/>
    <mergeCell ref="A22:C22"/>
    <mergeCell ref="E22:K22"/>
    <mergeCell ref="A23:C23"/>
    <mergeCell ref="E23:K23"/>
    <mergeCell ref="A24:C24"/>
    <mergeCell ref="E24:K24"/>
    <mergeCell ref="A25:C25"/>
    <mergeCell ref="E25:K25"/>
    <mergeCell ref="A26:C26"/>
    <mergeCell ref="E26:K26"/>
    <mergeCell ref="A27:C27"/>
    <mergeCell ref="E27:K27"/>
    <mergeCell ref="A28:C28"/>
    <mergeCell ref="E28:K28"/>
    <mergeCell ref="A29:C29"/>
    <mergeCell ref="E29:K29"/>
    <mergeCell ref="A30:C30"/>
    <mergeCell ref="E30:K30"/>
    <mergeCell ref="A40:C40"/>
    <mergeCell ref="E40:K40"/>
    <mergeCell ref="A41:C41"/>
    <mergeCell ref="E41:K41"/>
    <mergeCell ref="A42:C42"/>
    <mergeCell ref="E42:K42"/>
    <mergeCell ref="A43:C43"/>
    <mergeCell ref="E43:K43"/>
    <mergeCell ref="A44:C44"/>
    <mergeCell ref="E44:K4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Parte1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Ezequiel Castro</cp:lastModifiedBy>
  <dcterms:created xsi:type="dcterms:W3CDTF">2026-09-30T13:45:00Z</dcterms:created>
  <dcterms:modified xsi:type="dcterms:W3CDTF">2026-09-30T13:45:55Z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38565E50AFC84C92874CCFACF003AA99_12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