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Tabela de Tempo" sheetId="2" state="visible" r:id="rId4"/>
    <sheet name="Microprograma" sheetId="3" state="visible" r:id="rId5"/>
    <sheet name="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<sst xmlns="http://schemas.openxmlformats.org/spreadsheetml/2006/main" count="179" uniqueCount="94">
  <si>
    <t xml:space="preserve">PLANILHA — Tabela de tempo e microprograma (unidade microprogramada)</t>
  </si>
  <si>
    <t xml:space="preserve">AOC — Laboratório de Circuitos — Versão Introdutória — Parte II (Seções 6.5 e 6.6 do enunciado)</t>
  </si>
  <si>
    <t xml:space="preserve">COMO LER</t>
  </si>
  <si>
    <t xml:space="preserve">1. As células em AMARELO são as preenchidas pela equipe. As células em AZUL contêm os dados</t>
  </si>
  <si>
    <t xml:space="preserve">   fornecidos pelo enunciado (S0, S1, Busca, Decod e a mistura de instruções) e não foram alteradas.</t>
  </si>
  <si>
    <t xml:space="preserve">2. Na aba 'Microprograma', binario e hexadecimal são obtidos por FÓRMULA a partir dos quatro campos</t>
  </si>
  <si>
    <t xml:space="preserve">   de 2 bits. As colunas de sinais (cabeçalho laranja) também são fórmulas: mostram os valores</t>
  </si>
  <si>
    <t xml:space="preserve">   que o circuito realmente gera em cada microinstrução.</t>
  </si>
  <si>
    <t xml:space="preserve">3. Na aba 'Tabela de Tempo', X marca sinal indiferente, e cada X está justificado na última coluna.</t>
  </si>
  <si>
    <t xml:space="preserve">4. Na aba 'Resumo', o número de ciclos de cada classe é contado a partir dos estados percorridos,</t>
  </si>
  <si>
    <t xml:space="preserve">   e o CPI é a média dos ciclos ponderada pela frequência de cada classe.</t>
  </si>
  <si>
    <t xml:space="preserve">5. O conteúdo da ROM (04 22 90 19 5d 00 00 00) é o mesmo do arquivo microcodigo.txt.</t>
  </si>
  <si>
    <t xml:space="preserve">FUNÇÕES USADAS: DEC2HEX, BIN2DEC, IF, LEN, SUBSTITUTE, SUMPRODUCT, COUNTA, LOWER, MID.</t>
  </si>
  <si>
    <t xml:space="preserve">estado</t>
  </si>
  <si>
    <t xml:space="preserve">PCWr</t>
  </si>
  <si>
    <t xml:space="preserve">PCWrC</t>
  </si>
  <si>
    <t xml:space="preserve">PCSrc</t>
  </si>
  <si>
    <t xml:space="preserve">MemRd</t>
  </si>
  <si>
    <t xml:space="preserve">IRWr</t>
  </si>
  <si>
    <t xml:space="preserve">RegWr</t>
  </si>
  <si>
    <t xml:space="preserve">SrcA</t>
  </si>
  <si>
    <t xml:space="preserve">SrcB</t>
  </si>
  <si>
    <t xml:space="preserve">ALUOp</t>
  </si>
  <si>
    <t xml:space="preserve">justificativa_X</t>
  </si>
  <si>
    <t xml:space="preserve">S0 (Busca)</t>
  </si>
  <si>
    <t xml:space="preserve">1</t>
  </si>
  <si>
    <t xml:space="preserve">0</t>
  </si>
  <si>
    <t xml:space="preserve">01</t>
  </si>
  <si>
    <t xml:space="preserve">00</t>
  </si>
  <si>
    <t xml:space="preserve">sem X</t>
  </si>
  <si>
    <t xml:space="preserve">S1 (Decod.)</t>
  </si>
  <si>
    <t xml:space="preserve">X</t>
  </si>
  <si>
    <t xml:space="preserve">10</t>
  </si>
  <si>
    <t xml:space="preserve">PCSrc: o PC não é escrito (PCWr=0 e PCWrC=0), então a origem é irrelevante.</t>
  </si>
  <si>
    <t xml:space="preserve">S2 (Exec. tipo-R)</t>
  </si>
  <si>
    <t xml:space="preserve">PCSrc: o PC não é escrito, então a origem é irrelevante.</t>
  </si>
  <si>
    <t xml:space="preserve">S3 (Concl. tipo-R)</t>
  </si>
  <si>
    <t xml:space="preserve">XX</t>
  </si>
  <si>
    <t xml:space="preserve">PCSrc: o PC não é escrito. SrcA, SrcB e ALUOp: Reg[rd] recebe o ULAOut já gravado em S2 e a saída da ULA não é usada.</t>
  </si>
  <si>
    <t xml:space="preserve">S4 (Concl. desvio)</t>
  </si>
  <si>
    <t xml:space="preserve">SrcA e SrcB abreviam ALUSrcA e ALUSrcB. Nas colunas SrcB e ALUOp está o valor binário do campo. X = indiferente, justificado na última coluna.</t>
  </si>
  <si>
    <t xml:space="preserve">Valores realmente gerados pelo circuito em cada estado (sem X): aba 'Microprograma', colunas laranja.</t>
  </si>
  <si>
    <t xml:space="preserve">rotulo</t>
  </si>
  <si>
    <t xml:space="preserve">endereco</t>
  </si>
  <si>
    <t xml:space="preserve">ULAOp</t>
  </si>
  <si>
    <t xml:space="preserve">Fonte</t>
  </si>
  <si>
    <t xml:space="preserve">Acao</t>
  </si>
  <si>
    <t xml:space="preserve">Seq</t>
  </si>
  <si>
    <t xml:space="preserve">binario</t>
  </si>
  <si>
    <t xml:space="preserve">hexadecimal</t>
  </si>
  <si>
    <t xml:space="preserve">proximo</t>
  </si>
  <si>
    <t xml:space="preserve">Busca</t>
  </si>
  <si>
    <t xml:space="preserve">Decod</t>
  </si>
  <si>
    <t xml:space="preserve">ExecR</t>
  </si>
  <si>
    <t xml:space="preserve">ConclR</t>
  </si>
  <si>
    <t xml:space="preserve">ConclBEQ</t>
  </si>
  <si>
    <t xml:space="preserve">11</t>
  </si>
  <si>
    <t xml:space="preserve">livre</t>
  </si>
  <si>
    <t xml:space="preserve">Colunas I a R (laranja): sinais de controle derivados por fórmula dos campos ULAOp, Fonte e Ação (Fonte=00 implica PCWrite=1). A coluna 'proximo' é o endereço seguinte pelo campo Seq (10 = despacho: 2 se tipo-R, 4 se beq).</t>
  </si>
  <si>
    <t xml:space="preserve">Em ConclR, ULAOp=00 é indiferente (a saída da ULA não é usada). Posições 5, 6 e 7 da ROM livres (00).</t>
  </si>
  <si>
    <t xml:space="preserve">PARÂMETROS DA UNIDADE MICROPROGRAMADA (fornecidos — Tabelas 14, 16 e 17 do enunciado)</t>
  </si>
  <si>
    <t xml:space="preserve">Número de estados</t>
  </si>
  <si>
    <t xml:space="preserve">S0 a S4, codificados em 3 bits (µPC).</t>
  </si>
  <si>
    <t xml:space="preserve">Formato da microinstrução</t>
  </si>
  <si>
    <t xml:space="preserve">4 campos x 2 bits</t>
  </si>
  <si>
    <t xml:space="preserve">ULAOp | Fonte | Ação | Seq.</t>
  </si>
  <si>
    <t xml:space="preserve">Posições da ROM de microcódigo</t>
  </si>
  <si>
    <t xml:space="preserve">Componente 05, ROM de 8 posições.</t>
  </si>
  <si>
    <t xml:space="preserve">Bits por posição</t>
  </si>
  <si>
    <t xml:space="preserve">Uma microinstrução por posição.</t>
  </si>
  <si>
    <t xml:space="preserve">Frequência tipo-R (add, sub, and, or)</t>
  </si>
  <si>
    <t xml:space="preserve">Tabela 16 do enunciado.</t>
  </si>
  <si>
    <t xml:space="preserve">Frequência beq</t>
  </si>
  <si>
    <t xml:space="preserve">Estados percorridos pelo tipo-R</t>
  </si>
  <si>
    <t xml:space="preserve">S0, S1, S2, S3</t>
  </si>
  <si>
    <t xml:space="preserve">Estados percorridos pelo beq</t>
  </si>
  <si>
    <t xml:space="preserve">S0, S1, S4</t>
  </si>
  <si>
    <t xml:space="preserve">INDICADORES — CICLOS E CPI</t>
  </si>
  <si>
    <t xml:space="preserve">Ciclos do tipo-R</t>
  </si>
  <si>
    <t xml:space="preserve">Contagem dos estados percorridos.</t>
  </si>
  <si>
    <t xml:space="preserve">Ciclos do beq</t>
  </si>
  <si>
    <t xml:space="preserve">CPI médio</t>
  </si>
  <si>
    <t xml:space="preserve">CPI = soma de (frequência x ciclos) = 0,7 x 4 + 0,3 x 3.</t>
  </si>
  <si>
    <t xml:space="preserve">Soma das frequências</t>
  </si>
  <si>
    <t xml:space="preserve">Deve ser 100%.</t>
  </si>
  <si>
    <t xml:space="preserve">INDICADORES — MICROPROGRAMA</t>
  </si>
  <si>
    <t xml:space="preserve">Capacidade da ROM (bits)</t>
  </si>
  <si>
    <t xml:space="preserve">8 posições x 8 bits.</t>
  </si>
  <si>
    <t xml:space="preserve">Posições com microinstrução</t>
  </si>
  <si>
    <t xml:space="preserve">Busca, Decod, ExecR, ConclR e ConclBEQ.</t>
  </si>
  <si>
    <t xml:space="preserve">Bits úteis (posições usadas x 8)</t>
  </si>
  <si>
    <t xml:space="preserve">Posições 5 a 7 livres.</t>
  </si>
  <si>
    <t xml:space="preserve">Conteúdo da ROM (microcodigo.txt)</t>
  </si>
  <si>
    <t xml:space="preserve">Endereços 0 a 7, em hexadecimal.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</si>
</sst>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%"/>
    <numFmt numFmtId="167" formatCode="General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2FB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27127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B2FBF"/>
        <bgColor rgb="FF993366"/>
      </patternFill>
    </fill>
    <fill>
      <patternFill patternType="solid">
        <fgColor rgb="FFFFF2CC"/>
        <bgColor rgb="FFF2F0F7"/>
      </patternFill>
    </fill>
    <fill>
      <patternFill patternType="solid">
        <fgColor rgb="FFF27127"/>
        <bgColor rgb="FFFF8080"/>
      </patternFill>
    </fill>
    <fill>
      <patternFill patternType="solid">
        <fgColor rgb="FFF2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7127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6B2FB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8" customFormat="false" ht="15" hidden="false" customHeight="false" outlineLevel="0" collapsed="false">
      <c r="A8" s="4" t="s">
        <v>4</v>
      </c>
    </row>
    <row r="10" customFormat="false" ht="15" hidden="false" customHeight="false" outlineLevel="0" collapsed="false">
      <c r="A10" s="4" t="s">
        <v>5</v>
      </c>
    </row>
    <row r="11" customFormat="false" ht="15" hidden="false" customHeight="false" outlineLevel="0" collapsed="false">
      <c r="A11" s="4" t="s">
        <v>6</v>
      </c>
    </row>
    <row r="12" customFormat="false" ht="15" hidden="false" customHeight="false" outlineLevel="0" collapsed="false">
      <c r="A12" s="4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4" t="s">
        <v>9</v>
      </c>
    </row>
    <row r="17" customFormat="false" ht="15" hidden="false" customHeight="false" outlineLevel="0" collapsed="false">
      <c r="A17" s="4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5" min="3" style="0" width="9"/>
    <col collapsed="false" customWidth="true" hidden="false" outlineLevel="0" max="9" min="6" style="0" width="8"/>
    <col collapsed="false" customWidth="true" hidden="false" outlineLevel="0" max="10" min="10" style="0" width="9"/>
    <col collapsed="false" customWidth="true" hidden="false" outlineLevel="0" max="11" min="11" style="0" width="78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</row>
    <row r="2" customFormat="false" ht="15" hidden="false" customHeight="false" outlineLevel="0" collapsed="false">
      <c r="A2" s="6" t="s">
        <v>24</v>
      </c>
      <c r="B2" s="6" t="s">
        <v>25</v>
      </c>
      <c r="C2" s="6" t="s">
        <v>26</v>
      </c>
      <c r="D2" s="6" t="s">
        <v>26</v>
      </c>
      <c r="E2" s="6" t="s">
        <v>25</v>
      </c>
      <c r="F2" s="6" t="s">
        <v>25</v>
      </c>
      <c r="G2" s="6" t="s">
        <v>26</v>
      </c>
      <c r="H2" s="6" t="s">
        <v>26</v>
      </c>
      <c r="I2" s="6" t="s">
        <v>27</v>
      </c>
      <c r="J2" s="6" t="s">
        <v>28</v>
      </c>
      <c r="K2" s="7" t="s">
        <v>29</v>
      </c>
    </row>
    <row r="3" customFormat="false" ht="15" hidden="false" customHeight="false" outlineLevel="0" collapsed="false">
      <c r="A3" s="6" t="s">
        <v>30</v>
      </c>
      <c r="B3" s="6" t="s">
        <v>26</v>
      </c>
      <c r="C3" s="6" t="s">
        <v>26</v>
      </c>
      <c r="D3" s="6" t="s">
        <v>31</v>
      </c>
      <c r="E3" s="6" t="s">
        <v>26</v>
      </c>
      <c r="F3" s="6" t="s">
        <v>26</v>
      </c>
      <c r="G3" s="6" t="s">
        <v>26</v>
      </c>
      <c r="H3" s="6" t="s">
        <v>26</v>
      </c>
      <c r="I3" s="6" t="s">
        <v>32</v>
      </c>
      <c r="J3" s="6" t="s">
        <v>28</v>
      </c>
      <c r="K3" s="7" t="s">
        <v>33</v>
      </c>
    </row>
    <row r="4" customFormat="false" ht="30" hidden="false" customHeight="true" outlineLevel="0" collapsed="false">
      <c r="A4" s="8" t="s">
        <v>34</v>
      </c>
      <c r="B4" s="8" t="s">
        <v>26</v>
      </c>
      <c r="C4" s="8" t="s">
        <v>26</v>
      </c>
      <c r="D4" s="8" t="s">
        <v>31</v>
      </c>
      <c r="E4" s="8" t="s">
        <v>26</v>
      </c>
      <c r="F4" s="8" t="s">
        <v>26</v>
      </c>
      <c r="G4" s="8" t="s">
        <v>26</v>
      </c>
      <c r="H4" s="8" t="s">
        <v>25</v>
      </c>
      <c r="I4" s="8" t="s">
        <v>28</v>
      </c>
      <c r="J4" s="8" t="s">
        <v>32</v>
      </c>
      <c r="K4" s="7" t="s">
        <v>35</v>
      </c>
    </row>
    <row r="5" customFormat="false" ht="30" hidden="false" customHeight="true" outlineLevel="0" collapsed="false">
      <c r="A5" s="8" t="s">
        <v>36</v>
      </c>
      <c r="B5" s="8" t="s">
        <v>26</v>
      </c>
      <c r="C5" s="8" t="s">
        <v>26</v>
      </c>
      <c r="D5" s="8" t="s">
        <v>31</v>
      </c>
      <c r="E5" s="8" t="s">
        <v>26</v>
      </c>
      <c r="F5" s="8" t="s">
        <v>26</v>
      </c>
      <c r="G5" s="8" t="s">
        <v>25</v>
      </c>
      <c r="H5" s="8" t="s">
        <v>31</v>
      </c>
      <c r="I5" s="8" t="s">
        <v>37</v>
      </c>
      <c r="J5" s="8" t="s">
        <v>37</v>
      </c>
      <c r="K5" s="7" t="s">
        <v>38</v>
      </c>
    </row>
    <row r="6" customFormat="false" ht="15" hidden="false" customHeight="false" outlineLevel="0" collapsed="false">
      <c r="A6" s="8" t="s">
        <v>39</v>
      </c>
      <c r="B6" s="8" t="s">
        <v>26</v>
      </c>
      <c r="C6" s="8" t="s">
        <v>25</v>
      </c>
      <c r="D6" s="8" t="s">
        <v>25</v>
      </c>
      <c r="E6" s="8" t="s">
        <v>26</v>
      </c>
      <c r="F6" s="8" t="s">
        <v>26</v>
      </c>
      <c r="G6" s="8" t="s">
        <v>26</v>
      </c>
      <c r="H6" s="8" t="s">
        <v>25</v>
      </c>
      <c r="I6" s="8" t="s">
        <v>28</v>
      </c>
      <c r="J6" s="8" t="s">
        <v>27</v>
      </c>
      <c r="K6" s="7" t="s">
        <v>29</v>
      </c>
    </row>
    <row r="8" customFormat="false" ht="15" hidden="false" customHeight="false" outlineLevel="0" collapsed="false">
      <c r="A8" s="9" t="s">
        <v>40</v>
      </c>
    </row>
    <row r="9" customFormat="false" ht="15" hidden="false" customHeight="false" outlineLevel="0" collapsed="false">
      <c r="A9" s="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6" min="3" style="0" width="8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6" min="9" style="0" width="7"/>
    <col collapsed="false" customWidth="true" hidden="false" outlineLevel="0" max="17" min="17" style="0" width="8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50</v>
      </c>
    </row>
    <row r="2" customFormat="false" ht="15" hidden="false" customHeight="false" outlineLevel="0" collapsed="false">
      <c r="A2" s="11" t="s">
        <v>51</v>
      </c>
      <c r="B2" s="11" t="n">
        <v>0</v>
      </c>
      <c r="C2" s="6" t="s">
        <v>28</v>
      </c>
      <c r="D2" s="6" t="s">
        <v>28</v>
      </c>
      <c r="E2" s="6" t="s">
        <v>27</v>
      </c>
      <c r="F2" s="6" t="s">
        <v>28</v>
      </c>
      <c r="G2" s="12" t="str">
        <f aca="false">C2&amp;D2&amp;E2&amp;F2</f>
        <v>00000100</v>
      </c>
      <c r="H2" s="12" t="str">
        <f aca="false">"0x"&amp;DEC2HEX(BIN2DEC(G2),2)</f>
        <v>0x04</v>
      </c>
      <c r="I2" s="12" t="n">
        <f aca="false">IF(D2="00",1,0)</f>
        <v>1</v>
      </c>
      <c r="J2" s="12" t="n">
        <f aca="false">IF(E2="11",1,0)</f>
        <v>0</v>
      </c>
      <c r="K2" s="12" t="n">
        <f aca="false">IF(E2="11",1,0)</f>
        <v>0</v>
      </c>
      <c r="L2" s="12" t="n">
        <f aca="false">IF(E2="01",1,0)</f>
        <v>1</v>
      </c>
      <c r="M2" s="12" t="n">
        <f aca="false">IF(E2="01",1,0)</f>
        <v>1</v>
      </c>
      <c r="N2" s="12" t="n">
        <f aca="false">IF(E2="10",1,0)</f>
        <v>0</v>
      </c>
      <c r="O2" s="12" t="n">
        <f aca="false">IF(D2="01",1,0)</f>
        <v>0</v>
      </c>
      <c r="P2" s="13" t="str">
        <f aca="false">IF(D2="00","01",IF(D2="10","10","00"))</f>
        <v>01</v>
      </c>
      <c r="Q2" s="13" t="str">
        <f aca="false">C2</f>
        <v>00</v>
      </c>
      <c r="R2" s="12" t="n">
        <f aca="false">IF(F2="00",B2+1,IF(F2="01",0,"2 ou 4"))</f>
        <v>1</v>
      </c>
    </row>
    <row r="3" customFormat="false" ht="15" hidden="false" customHeight="false" outlineLevel="0" collapsed="false">
      <c r="A3" s="11" t="s">
        <v>52</v>
      </c>
      <c r="B3" s="11" t="n">
        <v>1</v>
      </c>
      <c r="C3" s="6" t="s">
        <v>28</v>
      </c>
      <c r="D3" s="6" t="s">
        <v>32</v>
      </c>
      <c r="E3" s="6" t="s">
        <v>28</v>
      </c>
      <c r="F3" s="6" t="s">
        <v>32</v>
      </c>
      <c r="G3" s="12" t="str">
        <f aca="false">C3&amp;D3&amp;E3&amp;F3</f>
        <v>00100010</v>
      </c>
      <c r="H3" s="12" t="str">
        <f aca="false">"0x"&amp;DEC2HEX(BIN2DEC(G3),2)</f>
        <v>0x22</v>
      </c>
      <c r="I3" s="12" t="n">
        <f aca="false">IF(D3="00",1,0)</f>
        <v>0</v>
      </c>
      <c r="J3" s="12" t="n">
        <f aca="false">IF(E3="11",1,0)</f>
        <v>0</v>
      </c>
      <c r="K3" s="12" t="n">
        <f aca="false">IF(E3="11",1,0)</f>
        <v>0</v>
      </c>
      <c r="L3" s="12" t="n">
        <f aca="false">IF(E3="01",1,0)</f>
        <v>0</v>
      </c>
      <c r="M3" s="12" t="n">
        <f aca="false">IF(E3="01",1,0)</f>
        <v>0</v>
      </c>
      <c r="N3" s="12" t="n">
        <f aca="false">IF(E3="10",1,0)</f>
        <v>0</v>
      </c>
      <c r="O3" s="12" t="n">
        <f aca="false">IF(D3="01",1,0)</f>
        <v>0</v>
      </c>
      <c r="P3" s="13" t="str">
        <f aca="false">IF(D3="00","01",IF(D3="10","10","00"))</f>
        <v>10</v>
      </c>
      <c r="Q3" s="13" t="str">
        <f aca="false">C3</f>
        <v>00</v>
      </c>
      <c r="R3" s="12" t="str">
        <f aca="false">IF(F3="00",B3+1,IF(F3="01",0,"2 ou 4"))</f>
        <v>2 ou 4</v>
      </c>
    </row>
    <row r="4" customFormat="false" ht="15" hidden="false" customHeight="false" outlineLevel="0" collapsed="false">
      <c r="A4" s="14" t="s">
        <v>53</v>
      </c>
      <c r="B4" s="14" t="n">
        <v>2</v>
      </c>
      <c r="C4" s="8" t="s">
        <v>32</v>
      </c>
      <c r="D4" s="8" t="s">
        <v>27</v>
      </c>
      <c r="E4" s="8" t="s">
        <v>28</v>
      </c>
      <c r="F4" s="8" t="s">
        <v>28</v>
      </c>
      <c r="G4" s="14" t="str">
        <f aca="false">C4&amp;D4&amp;E4&amp;F4</f>
        <v>10010000</v>
      </c>
      <c r="H4" s="14" t="str">
        <f aca="false">"0x"&amp;DEC2HEX(BIN2DEC(G4),2)</f>
        <v>0x90</v>
      </c>
      <c r="I4" s="12" t="n">
        <f aca="false">IF(D4="00",1,0)</f>
        <v>0</v>
      </c>
      <c r="J4" s="12" t="n">
        <f aca="false">IF(E4="11",1,0)</f>
        <v>0</v>
      </c>
      <c r="K4" s="12" t="n">
        <f aca="false">IF(E4="11",1,0)</f>
        <v>0</v>
      </c>
      <c r="L4" s="12" t="n">
        <f aca="false">IF(E4="01",1,0)</f>
        <v>0</v>
      </c>
      <c r="M4" s="12" t="n">
        <f aca="false">IF(E4="01",1,0)</f>
        <v>0</v>
      </c>
      <c r="N4" s="12" t="n">
        <f aca="false">IF(E4="10",1,0)</f>
        <v>0</v>
      </c>
      <c r="O4" s="12" t="n">
        <f aca="false">IF(D4="01",1,0)</f>
        <v>1</v>
      </c>
      <c r="P4" s="13" t="str">
        <f aca="false">IF(D4="00","01",IF(D4="10","10","00"))</f>
        <v>00</v>
      </c>
      <c r="Q4" s="13" t="str">
        <f aca="false">C4</f>
        <v>10</v>
      </c>
      <c r="R4" s="12" t="n">
        <f aca="false">IF(F4="00",B4+1,IF(F4="01",0,"2 ou 4"))</f>
        <v>3</v>
      </c>
    </row>
    <row r="5" customFormat="false" ht="15" hidden="false" customHeight="false" outlineLevel="0" collapsed="false">
      <c r="A5" s="14" t="s">
        <v>54</v>
      </c>
      <c r="B5" s="14" t="n">
        <v>3</v>
      </c>
      <c r="C5" s="8" t="s">
        <v>28</v>
      </c>
      <c r="D5" s="8" t="s">
        <v>27</v>
      </c>
      <c r="E5" s="8" t="s">
        <v>32</v>
      </c>
      <c r="F5" s="8" t="s">
        <v>27</v>
      </c>
      <c r="G5" s="14" t="str">
        <f aca="false">C5&amp;D5&amp;E5&amp;F5</f>
        <v>00011001</v>
      </c>
      <c r="H5" s="14" t="str">
        <f aca="false">"0x"&amp;DEC2HEX(BIN2DEC(G5),2)</f>
        <v>0x19</v>
      </c>
      <c r="I5" s="12" t="n">
        <f aca="false">IF(D5="00",1,0)</f>
        <v>0</v>
      </c>
      <c r="J5" s="12" t="n">
        <f aca="false">IF(E5="11",1,0)</f>
        <v>0</v>
      </c>
      <c r="K5" s="12" t="n">
        <f aca="false">IF(E5="11",1,0)</f>
        <v>0</v>
      </c>
      <c r="L5" s="12" t="n">
        <f aca="false">IF(E5="01",1,0)</f>
        <v>0</v>
      </c>
      <c r="M5" s="12" t="n">
        <f aca="false">IF(E5="01",1,0)</f>
        <v>0</v>
      </c>
      <c r="N5" s="12" t="n">
        <f aca="false">IF(E5="10",1,0)</f>
        <v>1</v>
      </c>
      <c r="O5" s="12" t="n">
        <f aca="false">IF(D5="01",1,0)</f>
        <v>1</v>
      </c>
      <c r="P5" s="13" t="str">
        <f aca="false">IF(D5="00","01",IF(D5="10","10","00"))</f>
        <v>00</v>
      </c>
      <c r="Q5" s="13" t="str">
        <f aca="false">C5</f>
        <v>00</v>
      </c>
      <c r="R5" s="12" t="n">
        <f aca="false">IF(F5="00",B5+1,IF(F5="01",0,"2 ou 4"))</f>
        <v>0</v>
      </c>
    </row>
    <row r="6" customFormat="false" ht="15" hidden="false" customHeight="false" outlineLevel="0" collapsed="false">
      <c r="A6" s="14" t="s">
        <v>55</v>
      </c>
      <c r="B6" s="14" t="n">
        <v>4</v>
      </c>
      <c r="C6" s="8" t="s">
        <v>27</v>
      </c>
      <c r="D6" s="8" t="s">
        <v>27</v>
      </c>
      <c r="E6" s="8" t="s">
        <v>56</v>
      </c>
      <c r="F6" s="8" t="s">
        <v>27</v>
      </c>
      <c r="G6" s="14" t="str">
        <f aca="false">C6&amp;D6&amp;E6&amp;F6</f>
        <v>01011101</v>
      </c>
      <c r="H6" s="14" t="str">
        <f aca="false">"0x"&amp;DEC2HEX(BIN2DEC(G6),2)</f>
        <v>0x5D</v>
      </c>
      <c r="I6" s="12" t="n">
        <f aca="false">IF(D6="00",1,0)</f>
        <v>0</v>
      </c>
      <c r="J6" s="12" t="n">
        <f aca="false">IF(E6="11",1,0)</f>
        <v>1</v>
      </c>
      <c r="K6" s="12" t="n">
        <f aca="false">IF(E6="11",1,0)</f>
        <v>1</v>
      </c>
      <c r="L6" s="12" t="n">
        <f aca="false">IF(E6="01",1,0)</f>
        <v>0</v>
      </c>
      <c r="M6" s="12" t="n">
        <f aca="false">IF(E6="01",1,0)</f>
        <v>0</v>
      </c>
      <c r="N6" s="12" t="n">
        <f aca="false">IF(E6="10",1,0)</f>
        <v>0</v>
      </c>
      <c r="O6" s="12" t="n">
        <f aca="false">IF(D6="01",1,0)</f>
        <v>1</v>
      </c>
      <c r="P6" s="13" t="str">
        <f aca="false">IF(D6="00","01",IF(D6="10","10","00"))</f>
        <v>00</v>
      </c>
      <c r="Q6" s="13" t="str">
        <f aca="false">C6</f>
        <v>01</v>
      </c>
      <c r="R6" s="12" t="n">
        <f aca="false">IF(F6="00",B6+1,IF(F6="01",0,"2 ou 4"))</f>
        <v>0</v>
      </c>
    </row>
    <row r="7" customFormat="false" ht="15" hidden="false" customHeight="false" outlineLevel="0" collapsed="false">
      <c r="A7" s="15" t="s">
        <v>57</v>
      </c>
      <c r="B7" s="15" t="n">
        <v>5</v>
      </c>
      <c r="C7" s="16" t="s">
        <v>28</v>
      </c>
      <c r="D7" s="16" t="s">
        <v>28</v>
      </c>
      <c r="E7" s="16" t="s">
        <v>28</v>
      </c>
      <c r="F7" s="16" t="s">
        <v>28</v>
      </c>
      <c r="G7" s="15" t="str">
        <f aca="false">C7&amp;D7&amp;E7&amp;F7</f>
        <v>00000000</v>
      </c>
      <c r="H7" s="15" t="str">
        <f aca="false">"0x"&amp;DEC2HEX(BIN2DEC(G7),2)</f>
        <v>0x00</v>
      </c>
      <c r="I7" s="15"/>
      <c r="J7" s="15"/>
      <c r="K7" s="15"/>
      <c r="L7" s="15"/>
      <c r="M7" s="15"/>
      <c r="N7" s="15"/>
      <c r="O7" s="15"/>
      <c r="P7" s="15"/>
      <c r="Q7" s="15"/>
      <c r="R7" s="15"/>
    </row>
    <row r="8" customFormat="false" ht="15" hidden="false" customHeight="false" outlineLevel="0" collapsed="false">
      <c r="A8" s="15" t="s">
        <v>57</v>
      </c>
      <c r="B8" s="15" t="n">
        <v>6</v>
      </c>
      <c r="C8" s="16" t="s">
        <v>28</v>
      </c>
      <c r="D8" s="16" t="s">
        <v>28</v>
      </c>
      <c r="E8" s="16" t="s">
        <v>28</v>
      </c>
      <c r="F8" s="16" t="s">
        <v>28</v>
      </c>
      <c r="G8" s="15" t="str">
        <f aca="false">C8&amp;D8&amp;E8&amp;F8</f>
        <v>00000000</v>
      </c>
      <c r="H8" s="15" t="str">
        <f aca="false">"0x"&amp;DEC2HEX(BIN2DEC(G8),2)</f>
        <v>0x00</v>
      </c>
      <c r="I8" s="15"/>
      <c r="J8" s="15"/>
      <c r="K8" s="15"/>
      <c r="L8" s="15"/>
      <c r="M8" s="15"/>
      <c r="N8" s="15"/>
      <c r="O8" s="15"/>
      <c r="P8" s="15"/>
      <c r="Q8" s="15"/>
      <c r="R8" s="15"/>
    </row>
    <row r="9" customFormat="false" ht="15" hidden="false" customHeight="false" outlineLevel="0" collapsed="false">
      <c r="A9" s="15" t="s">
        <v>57</v>
      </c>
      <c r="B9" s="15" t="n">
        <v>7</v>
      </c>
      <c r="C9" s="16" t="s">
        <v>28</v>
      </c>
      <c r="D9" s="16" t="s">
        <v>28</v>
      </c>
      <c r="E9" s="16" t="s">
        <v>28</v>
      </c>
      <c r="F9" s="16" t="s">
        <v>28</v>
      </c>
      <c r="G9" s="15" t="str">
        <f aca="false">C9&amp;D9&amp;E9&amp;F9</f>
        <v>00000000</v>
      </c>
      <c r="H9" s="15" t="str">
        <f aca="false">"0x"&amp;DEC2HEX(BIN2DEC(G9),2)</f>
        <v>0x00</v>
      </c>
      <c r="I9" s="15"/>
      <c r="J9" s="15"/>
      <c r="K9" s="15"/>
      <c r="L9" s="15"/>
      <c r="M9" s="15"/>
      <c r="N9" s="15"/>
      <c r="O9" s="15"/>
      <c r="P9" s="15"/>
      <c r="Q9" s="15"/>
      <c r="R9" s="15"/>
    </row>
    <row r="10" customFormat="false" ht="15" hidden="false" customHeight="false" outlineLevel="0" collapsed="false">
      <c r="A10" s="9" t="s">
        <v>58</v>
      </c>
    </row>
    <row r="11" customFormat="false" ht="15" hidden="false" customHeight="false" outlineLevel="0" collapsed="false">
      <c r="A11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4" style="0" width="60"/>
  </cols>
  <sheetData>
    <row r="1" customFormat="false" ht="23.25" hidden="false" customHeight="true" outlineLevel="0" collapsed="false">
      <c r="A1" s="5" t="s">
        <v>60</v>
      </c>
      <c r="B1" s="5"/>
      <c r="C1" s="5"/>
      <c r="D1" s="5"/>
    </row>
    <row r="2" customFormat="false" ht="15" hidden="false" customHeight="false" outlineLevel="0" collapsed="false">
      <c r="A2" s="4" t="s">
        <v>61</v>
      </c>
      <c r="B2" s="17" t="n">
        <v>5</v>
      </c>
      <c r="D2" s="9" t="s">
        <v>62</v>
      </c>
    </row>
    <row r="3" customFormat="false" ht="15" hidden="false" customHeight="false" outlineLevel="0" collapsed="false">
      <c r="A3" s="4" t="s">
        <v>63</v>
      </c>
      <c r="B3" s="17" t="s">
        <v>64</v>
      </c>
      <c r="D3" s="9" t="s">
        <v>65</v>
      </c>
    </row>
    <row r="4" customFormat="false" ht="15" hidden="false" customHeight="false" outlineLevel="0" collapsed="false">
      <c r="A4" s="4" t="s">
        <v>66</v>
      </c>
      <c r="B4" s="17" t="n">
        <v>8</v>
      </c>
      <c r="D4" s="9" t="s">
        <v>67</v>
      </c>
    </row>
    <row r="5" customFormat="false" ht="15" hidden="false" customHeight="false" outlineLevel="0" collapsed="false">
      <c r="A5" s="4" t="s">
        <v>68</v>
      </c>
      <c r="B5" s="17" t="n">
        <v>8</v>
      </c>
      <c r="D5" s="9" t="s">
        <v>69</v>
      </c>
    </row>
    <row r="6" customFormat="false" ht="15" hidden="false" customHeight="false" outlineLevel="0" collapsed="false">
      <c r="A6" s="4" t="s">
        <v>70</v>
      </c>
      <c r="B6" s="18" t="n">
        <v>0.7</v>
      </c>
      <c r="D6" s="9" t="s">
        <v>71</v>
      </c>
    </row>
    <row r="7" customFormat="false" ht="15" hidden="false" customHeight="false" outlineLevel="0" collapsed="false">
      <c r="A7" s="4" t="s">
        <v>72</v>
      </c>
      <c r="B7" s="18" t="n">
        <v>0.3</v>
      </c>
      <c r="D7" s="9" t="s">
        <v>71</v>
      </c>
    </row>
    <row r="8" customFormat="false" ht="15" hidden="false" customHeight="false" outlineLevel="0" collapsed="false">
      <c r="A8" s="4" t="s">
        <v>73</v>
      </c>
      <c r="B8" s="17" t="s">
        <v>74</v>
      </c>
      <c r="D8" s="9" t="s">
        <v>71</v>
      </c>
    </row>
    <row r="9" customFormat="false" ht="15" hidden="false" customHeight="false" outlineLevel="0" collapsed="false">
      <c r="A9" s="4" t="s">
        <v>75</v>
      </c>
      <c r="B9" s="17" t="s">
        <v>76</v>
      </c>
      <c r="D9" s="9" t="s">
        <v>71</v>
      </c>
    </row>
    <row r="11" customFormat="false" ht="23.25" hidden="false" customHeight="true" outlineLevel="0" collapsed="false">
      <c r="A11" s="5" t="s">
        <v>77</v>
      </c>
      <c r="B11" s="5"/>
      <c r="C11" s="5"/>
      <c r="D11" s="5"/>
    </row>
    <row r="12" customFormat="false" ht="15" hidden="false" customHeight="false" outlineLevel="0" collapsed="false">
      <c r="A12" s="4" t="s">
        <v>78</v>
      </c>
      <c r="B12" s="19" t="n">
        <f aca="false">LEN(B8)-LEN(SUBSTITUTE(B8,"S",""))</f>
        <v>4</v>
      </c>
      <c r="D12" s="9" t="s">
        <v>79</v>
      </c>
    </row>
    <row r="13" customFormat="false" ht="15" hidden="false" customHeight="false" outlineLevel="0" collapsed="false">
      <c r="A13" s="4" t="s">
        <v>80</v>
      </c>
      <c r="B13" s="19" t="n">
        <f aca="false">LEN(B9)-LEN(SUBSTITUTE(B9,"S",""))</f>
        <v>3</v>
      </c>
      <c r="D13" s="9" t="s">
        <v>79</v>
      </c>
    </row>
    <row r="14" customFormat="false" ht="15" hidden="false" customHeight="false" outlineLevel="0" collapsed="false">
      <c r="A14" s="4" t="s">
        <v>81</v>
      </c>
      <c r="B14" s="20" t="n">
        <f aca="false">B6*B12+B7*B13</f>
        <v>3.7</v>
      </c>
      <c r="D14" s="9" t="s">
        <v>82</v>
      </c>
    </row>
    <row r="15" customFormat="false" ht="15" hidden="false" customHeight="false" outlineLevel="0" collapsed="false">
      <c r="A15" s="4" t="s">
        <v>83</v>
      </c>
      <c r="B15" s="21" t="n">
        <f aca="false">B6+B7</f>
        <v>1</v>
      </c>
      <c r="D15" s="9" t="s">
        <v>84</v>
      </c>
    </row>
    <row r="16" customFormat="false" ht="15" hidden="false" customHeight="false" outlineLevel="0" collapsed="false">
      <c r="B16" s="22"/>
    </row>
    <row r="17" customFormat="false" ht="23.25" hidden="false" customHeight="true" outlineLevel="0" collapsed="false">
      <c r="A17" s="5" t="s">
        <v>85</v>
      </c>
      <c r="B17" s="5"/>
      <c r="C17" s="5"/>
      <c r="D17" s="5"/>
    </row>
    <row r="18" customFormat="false" ht="15" hidden="false" customHeight="false" outlineLevel="0" collapsed="false">
      <c r="A18" s="4" t="s">
        <v>86</v>
      </c>
      <c r="B18" s="19" t="n">
        <f aca="false">B4*B5</f>
        <v>64</v>
      </c>
      <c r="D18" s="9" t="s">
        <v>87</v>
      </c>
    </row>
    <row r="19" customFormat="false" ht="15" hidden="false" customHeight="false" outlineLevel="0" collapsed="false">
      <c r="A19" s="4" t="s">
        <v>88</v>
      </c>
      <c r="B19" s="19" t="n">
        <f aca="false">COUNTA(Microprograma!A2:A6)</f>
        <v>5</v>
      </c>
      <c r="D19" s="9" t="s">
        <v>89</v>
      </c>
    </row>
    <row r="20" customFormat="false" ht="15" hidden="false" customHeight="false" outlineLevel="0" collapsed="false">
      <c r="A20" s="4" t="s">
        <v>90</v>
      </c>
      <c r="B20" s="19" t="n">
        <f aca="false">B19*B5</f>
        <v>40</v>
      </c>
      <c r="D20" s="9" t="s">
        <v>91</v>
      </c>
    </row>
    <row r="21" customFormat="false" ht="15" hidden="false" customHeight="false" outlineLevel="0" collapsed="false">
      <c r="A21" s="4" t="s">
        <v>92</v>
      </c>
      <c r="B21" s="19" t="str">
        <f aca="false">LOWER(MID(Microprograma!H2,3,2)) &amp;" "&amp; LOWER(MID(Microprograma!H3,3,2)) &amp;" "&amp; LOWER(MID(Microprograma!H4,3,2)) &amp;" "&amp; LOWER(MID(Microprograma!H5,3,2)) &amp;" "&amp; LOWER(MID(Microprograma!H6,3,2)) &amp;" "&amp; LOWER(MID(Microprograma!H7,3,2)) &amp;" "&amp; LOWER(MID(Microprograma!H8,3,2)) &amp;" "&amp; LOWER(MID(Microprograma!H9,3,2))</f>
        <v>04 22 90 19 5d 00 00 00</v>
      </c>
      <c r="D21" s="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2026-09-30T23:51:18Z</dcterms:created>
  <dc:creator>openpyxl</dc:creator>
  <dc:description/>
  <dc:language>en-US</dc:language>
  <cp:lastModifiedBy/>
  <dcterms:modified xsi:type="dcterms:W3CDTF">2026-09-30T23:51:18Z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